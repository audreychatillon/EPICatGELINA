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P2025-002 (Pu242)" sheetId="1" state="visible" r:id="rId2"/>
    <sheet name="TP2025-003 (U235)" sheetId="2" state="visible" r:id="rId3"/>
    <sheet name="TP2025-004 (U238)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<sst xmlns="http://schemas.openxmlformats.org/spreadsheetml/2006/main" count="211" uniqueCount="83">
  <si>
    <r>
      <rPr>
        <b val="true"/>
        <sz val="18"/>
        <color rgb="FF000000"/>
        <rFont val="Aptos Narrow"/>
        <family val="2"/>
        <charset val="1"/>
      </rPr>
      <t xml:space="preserve">TP2025-002: </t>
    </r>
    <r>
      <rPr>
        <b val="true"/>
        <vertAlign val="superscript"/>
        <sz val="18"/>
        <color rgb="FF000000"/>
        <rFont val="Aptos Narrow"/>
        <family val="2"/>
        <charset val="1"/>
      </rPr>
      <t xml:space="preserve">242</t>
    </r>
    <r>
      <rPr>
        <b val="true"/>
        <sz val="18"/>
        <color rgb="FF000000"/>
        <rFont val="Aptos Narrow"/>
        <family val="2"/>
        <charset val="1"/>
      </rPr>
      <t xml:space="preserve">Pu</t>
    </r>
  </si>
  <si>
    <t xml:space="preserve">Target ID</t>
  </si>
  <si>
    <t xml:space="preserve">Target</t>
  </si>
  <si>
    <t xml:space="preserve">Middle center</t>
  </si>
  <si>
    <t xml:space="preserve">Outer ring</t>
  </si>
  <si>
    <t xml:space="preserve">difference</t>
  </si>
  <si>
    <t xml:space="preserve">Middle ring</t>
  </si>
  <si>
    <t xml:space="preserve">Inner spot</t>
  </si>
  <si>
    <t xml:space="preserve">LG2</t>
  </si>
  <si>
    <t xml:space="preserve">Area</t>
  </si>
  <si>
    <r>
      <rPr>
        <b val="true"/>
        <sz val="10"/>
        <color rgb="FF000000"/>
        <rFont val="Aptos Narrow"/>
        <family val="2"/>
        <charset val="1"/>
      </rPr>
      <t xml:space="preserve">AD </t>
    </r>
    <r>
      <rPr>
        <b val="true"/>
        <vertAlign val="superscript"/>
        <sz val="10"/>
        <color rgb="FF000000"/>
        <rFont val="Aptos Narrow"/>
        <family val="2"/>
        <charset val="1"/>
      </rPr>
      <t xml:space="preserve">242</t>
    </r>
    <r>
      <rPr>
        <b val="true"/>
        <sz val="10"/>
        <color rgb="FF000000"/>
        <rFont val="Aptos Narrow"/>
        <family val="2"/>
        <charset val="1"/>
      </rPr>
      <t xml:space="preserve">Pu</t>
    </r>
  </si>
  <si>
    <t xml:space="preserve">relative AD</t>
  </si>
  <si>
    <t xml:space="preserve">&lt;15%</t>
  </si>
  <si>
    <t xml:space="preserve">ROI 2000-6000</t>
  </si>
  <si>
    <t xml:space="preserve">cm²</t>
  </si>
  <si>
    <t xml:space="preserve">µg/cm²</t>
  </si>
  <si>
    <t xml:space="preserve">-</t>
  </si>
  <si>
    <t xml:space="preserve">TP2025-002-01</t>
  </si>
  <si>
    <t xml:space="preserve">TP2025-002-02</t>
  </si>
  <si>
    <t xml:space="preserve">TP2025-002-03</t>
  </si>
  <si>
    <t xml:space="preserve">TP2025-002-04</t>
  </si>
  <si>
    <t xml:space="preserve">TP2025-002-05</t>
  </si>
  <si>
    <t xml:space="preserve">TP2025-002-06</t>
  </si>
  <si>
    <t xml:space="preserve">TP2025-002-07</t>
  </si>
  <si>
    <t xml:space="preserve">TP2025-002-08</t>
  </si>
  <si>
    <t xml:space="preserve">TP2025-002-09</t>
  </si>
  <si>
    <t xml:space="preserve">TP2025-002-10</t>
  </si>
  <si>
    <t xml:space="preserve">TP2025-002-11</t>
  </si>
  <si>
    <t xml:space="preserve">TP2025-002-12</t>
  </si>
  <si>
    <t xml:space="preserve">TP2025-002-13</t>
  </si>
  <si>
    <t xml:space="preserve">TP2025-002-14</t>
  </si>
  <si>
    <t xml:space="preserve">ANODE 5</t>
  </si>
  <si>
    <t xml:space="preserve">ANODE 6</t>
  </si>
  <si>
    <t xml:space="preserve">ANODE 7</t>
  </si>
  <si>
    <r>
      <rPr>
        <b val="true"/>
        <sz val="18"/>
        <color rgb="FF000000"/>
        <rFont val="Aptos Narrow"/>
        <family val="2"/>
        <charset val="1"/>
      </rPr>
      <t xml:space="preserve">TP2025-003: </t>
    </r>
    <r>
      <rPr>
        <b val="true"/>
        <vertAlign val="superscript"/>
        <sz val="18"/>
        <color rgb="FF000000"/>
        <rFont val="Aptos Narrow"/>
        <family val="2"/>
        <charset val="1"/>
      </rPr>
      <t xml:space="preserve">235</t>
    </r>
    <r>
      <rPr>
        <b val="true"/>
        <sz val="18"/>
        <color rgb="FF000000"/>
        <rFont val="Aptos Narrow"/>
        <family val="2"/>
        <charset val="1"/>
      </rPr>
      <t xml:space="preserve">U</t>
    </r>
  </si>
  <si>
    <t xml:space="preserve">Center spot</t>
  </si>
  <si>
    <t xml:space="preserve">build-in</t>
  </si>
  <si>
    <t xml:space="preserve">LG3</t>
  </si>
  <si>
    <r>
      <rPr>
        <b val="true"/>
        <sz val="11"/>
        <color rgb="FF000000"/>
        <rFont val="Aptos Narrow"/>
        <family val="2"/>
        <charset val="1"/>
      </rPr>
      <t xml:space="preserve">AD </t>
    </r>
    <r>
      <rPr>
        <b val="true"/>
        <vertAlign val="superscript"/>
        <sz val="11"/>
        <color rgb="FF000000"/>
        <rFont val="Aptos Narrow"/>
        <family val="2"/>
        <charset val="1"/>
      </rPr>
      <t xml:space="preserve">235</t>
    </r>
    <r>
      <rPr>
        <b val="true"/>
        <sz val="11"/>
        <color rgb="FF000000"/>
        <rFont val="Aptos Narrow"/>
        <family val="2"/>
        <charset val="1"/>
      </rPr>
      <t xml:space="preserve">U</t>
    </r>
  </si>
  <si>
    <t xml:space="preserve">&lt;10%?</t>
  </si>
  <si>
    <t xml:space="preserve">chamber</t>
  </si>
  <si>
    <t xml:space="preserve">ROI 1000-3000</t>
  </si>
  <si>
    <t xml:space="preserve">colour</t>
  </si>
  <si>
    <t xml:space="preserve">TP2025-003-12</t>
  </si>
  <si>
    <t xml:space="preserve">Blue (spare)</t>
  </si>
  <si>
    <t xml:space="preserve">TP2025-003-23</t>
  </si>
  <si>
    <t xml:space="preserve">TP2025-003-25</t>
  </si>
  <si>
    <t xml:space="preserve">White</t>
  </si>
  <si>
    <t xml:space="preserve">TP2025-003-27</t>
  </si>
  <si>
    <t xml:space="preserve">TP2025-003-28</t>
  </si>
  <si>
    <t xml:space="preserve">TP2025-003-29</t>
  </si>
  <si>
    <t xml:space="preserve">TP2025-003-30</t>
  </si>
  <si>
    <t xml:space="preserve">TP2025-003-33</t>
  </si>
  <si>
    <t xml:space="preserve">Blue</t>
  </si>
  <si>
    <t xml:space="preserve">TP2025-003-34</t>
  </si>
  <si>
    <t xml:space="preserve">TP2025-003-35</t>
  </si>
  <si>
    <t xml:space="preserve">TP2025-003-37</t>
  </si>
  <si>
    <t xml:space="preserve">TP2025-003-38</t>
  </si>
  <si>
    <t xml:space="preserve">TP2025-003-39</t>
  </si>
  <si>
    <t xml:space="preserve">TP2025-003-40</t>
  </si>
  <si>
    <t xml:space="preserve">TP2025-003-43</t>
  </si>
  <si>
    <t xml:space="preserve">TP2025-003-44</t>
  </si>
  <si>
    <t xml:space="preserve">ANODE 2</t>
  </si>
  <si>
    <t xml:space="preserve">ANODE 3</t>
  </si>
  <si>
    <t xml:space="preserve">ANODE 4</t>
  </si>
  <si>
    <t xml:space="preserve">ANODE 8</t>
  </si>
  <si>
    <t xml:space="preserve">ANODE 9 </t>
  </si>
  <si>
    <t xml:space="preserve">ANODE 10</t>
  </si>
  <si>
    <r>
      <rPr>
        <b val="true"/>
        <sz val="18"/>
        <color rgb="FF000000"/>
        <rFont val="Aptos Narrow"/>
        <family val="2"/>
        <charset val="1"/>
      </rPr>
      <t xml:space="preserve">TP2025-004: </t>
    </r>
    <r>
      <rPr>
        <b val="true"/>
        <vertAlign val="superscript"/>
        <sz val="18"/>
        <color rgb="FF000000"/>
        <rFont val="Aptos Narrow"/>
        <family val="2"/>
        <charset val="1"/>
      </rPr>
      <t xml:space="preserve">238</t>
    </r>
    <r>
      <rPr>
        <b val="true"/>
        <sz val="18"/>
        <color rgb="FF000000"/>
        <rFont val="Aptos Narrow"/>
        <family val="2"/>
        <charset val="1"/>
      </rPr>
      <t xml:space="preserve">U</t>
    </r>
  </si>
  <si>
    <t xml:space="preserve">ROI 1900-2500</t>
  </si>
  <si>
    <t xml:space="preserve">TP2025-004-06</t>
  </si>
  <si>
    <t xml:space="preserve">P/F</t>
  </si>
  <si>
    <t xml:space="preserve">TP2025-004-07</t>
  </si>
  <si>
    <t xml:space="preserve">P</t>
  </si>
  <si>
    <t xml:space="preserve">TP2025-004-08</t>
  </si>
  <si>
    <t xml:space="preserve">TP2025-004-09</t>
  </si>
  <si>
    <t xml:space="preserve">S</t>
  </si>
  <si>
    <t xml:space="preserve">TP2025-004-VD02</t>
  </si>
  <si>
    <t xml:space="preserve">TP2025-004-VD03</t>
  </si>
  <si>
    <t xml:space="preserve">TP2025-004-VD04</t>
  </si>
  <si>
    <t xml:space="preserve">ANODE 1</t>
  </si>
  <si>
    <t xml:space="preserve">ANODE 11</t>
  </si>
  <si>
    <t xml:space="preserve">or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</si>
</sst>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%"/>
    <numFmt numFmtId="168" formatCode="0.00%"/>
  </numFmts>
  <fonts count="1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ptos Narrow"/>
      <family val="2"/>
      <charset val="1"/>
    </font>
    <font>
      <b val="true"/>
      <vertAlign val="superscript"/>
      <sz val="18"/>
      <color rgb="FF000000"/>
      <name val="Aptos Narrow"/>
      <family val="2"/>
      <charset val="1"/>
    </font>
    <font>
      <b val="true"/>
      <sz val="10"/>
      <color rgb="FF000000"/>
      <name val="Aptos Narrow"/>
      <family val="2"/>
      <charset val="1"/>
    </font>
    <font>
      <b val="true"/>
      <vertAlign val="superscript"/>
      <sz val="10"/>
      <color rgb="FF000000"/>
      <name val="Aptos Narrow"/>
      <family val="2"/>
      <charset val="1"/>
    </font>
    <font>
      <sz val="10"/>
      <name val="Aptos Narrow"/>
      <family val="2"/>
      <charset val="1"/>
    </font>
    <font>
      <sz val="10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vertAlign val="superscript"/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11"/>
      <color rgb="FF0061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2" borderId="0" applyFont="true" applyBorder="false" applyAlignment="true" applyProtection="false">
      <alignment horizontal="general" vertical="bottom" textRotation="0" wrapText="false" indent="0" shrinkToFit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dxfs count="6">
    <dxf>
      <font>
        <strike val="0"/>
        <color rgb="FF000000"/>
      </font>
      <fill>
        <patternFill>
          <bgColor rgb="FFFF0000"/>
        </patternFill>
      </fill>
    </dxf>
    <dxf>
      <font>
        <strike val="0"/>
        <color rgb="00FFFFFF"/>
      </font>
      <fill>
        <patternFill>
          <bgColor rgb="FF00B050"/>
        </patternFill>
      </fill>
    </dxf>
    <dxf>
      <font>
        <strike val="0"/>
        <color rgb="FF000000"/>
      </font>
      <fill>
        <patternFill>
          <bgColor rgb="FFFF0000"/>
        </patternFill>
      </fill>
    </dxf>
    <dxf>
      <font>
        <strike val="0"/>
        <color rgb="00FFFFFF"/>
      </font>
      <fill>
        <patternFill>
          <bgColor rgb="FF00B050"/>
        </patternFill>
      </fill>
    </dxf>
    <dxf>
      <font>
        <strike val="0"/>
        <color rgb="FF000000"/>
      </font>
      <fill>
        <patternFill>
          <bgColor rgb="FFFF0000"/>
        </patternFill>
      </fill>
    </dxf>
    <dxf>
      <font>
        <strike val="0"/>
        <color rgb="00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M38" activeCellId="0" sqref="M38"/>
    </sheetView>
  </sheetViews>
  <sheetFormatPr defaultColWidth="8.5390625" defaultRowHeight="14.5" zeroHeight="false" outlineLevelRow="0" outlineLevelCol="0"/>
  <cols>
    <col collapsed="false" customWidth="true" hidden="false" outlineLevel="0" max="1" min="1" style="0" width="13.17"/>
    <col collapsed="false" customWidth="true" hidden="false" outlineLevel="0" max="2" min="2" style="0" width="4.46"/>
    <col collapsed="false" customWidth="true" hidden="false" outlineLevel="0" max="3" min="3" style="0" width="7.54"/>
    <col collapsed="false" customWidth="true" hidden="false" outlineLevel="0" max="4" min="4" style="0" width="4.46"/>
    <col collapsed="false" customWidth="true" hidden="false" outlineLevel="0" max="5" min="5" style="0" width="7.54"/>
    <col collapsed="false" customWidth="true" hidden="false" outlineLevel="0" max="6" min="6" style="0" width="9.27"/>
    <col collapsed="false" customWidth="true" hidden="false" outlineLevel="0" max="7" min="7" style="0" width="4.46"/>
    <col collapsed="false" customWidth="true" hidden="false" outlineLevel="0" max="8" min="8" style="0" width="7.54"/>
    <col collapsed="false" customWidth="true" hidden="false" outlineLevel="0" max="9" min="9" style="0" width="9.27"/>
    <col collapsed="false" customWidth="true" hidden="false" outlineLevel="0" max="10" min="10" style="0" width="9"/>
    <col collapsed="false" customWidth="true" hidden="false" outlineLevel="0" max="11" min="11" style="0" width="4.46"/>
    <col collapsed="false" customWidth="true" hidden="false" outlineLevel="0" max="12" min="12" style="0" width="7.54"/>
    <col collapsed="false" customWidth="true" hidden="false" outlineLevel="0" max="13" min="13" style="0" width="11.17"/>
    <col collapsed="false" customWidth="true" hidden="false" outlineLevel="0" max="14" min="14" style="0" width="4.46"/>
    <col collapsed="false" customWidth="true" hidden="false" outlineLevel="0" max="15" min="15" style="0" width="7.54"/>
    <col collapsed="false" customWidth="true" hidden="false" outlineLevel="0" max="16" min="16" style="0" width="9.27"/>
    <col collapsed="false" customWidth="true" hidden="false" outlineLevel="0" max="17" min="17" style="0" width="9"/>
  </cols>
  <sheetData>
    <row r="1" customFormat="false" ht="26.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4.5" hidden="false" customHeight="false" outlineLevel="0" collapsed="false">
      <c r="A2" s="2" t="s">
        <v>1</v>
      </c>
      <c r="B2" s="3" t="s">
        <v>2</v>
      </c>
      <c r="C2" s="3"/>
      <c r="D2" s="3" t="s">
        <v>3</v>
      </c>
      <c r="E2" s="3"/>
      <c r="F2" s="3"/>
      <c r="G2" s="3" t="s">
        <v>4</v>
      </c>
      <c r="H2" s="3"/>
      <c r="I2" s="3"/>
      <c r="J2" s="4" t="s">
        <v>5</v>
      </c>
      <c r="K2" s="3" t="s">
        <v>6</v>
      </c>
      <c r="L2" s="3"/>
      <c r="M2" s="3"/>
      <c r="N2" s="3" t="s">
        <v>7</v>
      </c>
      <c r="O2" s="3"/>
      <c r="P2" s="3"/>
      <c r="Q2" s="5" t="s">
        <v>5</v>
      </c>
    </row>
    <row r="3" customFormat="false" ht="15" hidden="false" customHeight="false" outlineLevel="0" collapsed="false">
      <c r="A3" s="6" t="s">
        <v>8</v>
      </c>
      <c r="B3" s="7" t="s">
        <v>9</v>
      </c>
      <c r="C3" s="8" t="s">
        <v>10</v>
      </c>
      <c r="D3" s="7" t="s">
        <v>9</v>
      </c>
      <c r="E3" s="9" t="s">
        <v>10</v>
      </c>
      <c r="F3" s="10" t="s">
        <v>11</v>
      </c>
      <c r="G3" s="7" t="s">
        <v>9</v>
      </c>
      <c r="H3" s="9" t="s">
        <v>10</v>
      </c>
      <c r="I3" s="10" t="s">
        <v>11</v>
      </c>
      <c r="J3" s="9" t="s">
        <v>12</v>
      </c>
      <c r="K3" s="7" t="s">
        <v>9</v>
      </c>
      <c r="L3" s="9" t="s">
        <v>10</v>
      </c>
      <c r="M3" s="10" t="s">
        <v>11</v>
      </c>
      <c r="N3" s="7" t="s">
        <v>9</v>
      </c>
      <c r="O3" s="9" t="s">
        <v>10</v>
      </c>
      <c r="P3" s="10" t="s">
        <v>11</v>
      </c>
      <c r="Q3" s="11" t="s">
        <v>12</v>
      </c>
    </row>
    <row r="4" customFormat="false" ht="14.5" hidden="false" customHeight="false" outlineLevel="0" collapsed="false">
      <c r="A4" s="12" t="s">
        <v>13</v>
      </c>
      <c r="B4" s="13" t="s">
        <v>14</v>
      </c>
      <c r="C4" s="14" t="s">
        <v>15</v>
      </c>
      <c r="D4" s="13" t="s">
        <v>14</v>
      </c>
      <c r="E4" s="15" t="s">
        <v>15</v>
      </c>
      <c r="F4" s="16" t="s">
        <v>16</v>
      </c>
      <c r="G4" s="13" t="s">
        <v>14</v>
      </c>
      <c r="H4" s="15" t="s">
        <v>15</v>
      </c>
      <c r="I4" s="16" t="s">
        <v>16</v>
      </c>
      <c r="J4" s="17" t="s">
        <v>16</v>
      </c>
      <c r="K4" s="13" t="s">
        <v>14</v>
      </c>
      <c r="L4" s="15" t="s">
        <v>15</v>
      </c>
      <c r="M4" s="16" t="s">
        <v>16</v>
      </c>
      <c r="N4" s="13" t="s">
        <v>14</v>
      </c>
      <c r="O4" s="15" t="s">
        <v>15</v>
      </c>
      <c r="P4" s="16" t="s">
        <v>16</v>
      </c>
      <c r="Q4" s="18" t="s">
        <v>16</v>
      </c>
    </row>
    <row r="5" customFormat="false" ht="14.5" hidden="false" customHeight="false" outlineLevel="0" collapsed="false">
      <c r="A5" s="19" t="s">
        <v>17</v>
      </c>
      <c r="B5" s="20" t="n">
        <v>8.53569870515215</v>
      </c>
      <c r="C5" s="21" t="n">
        <v>37.3823406588781</v>
      </c>
      <c r="D5" s="20" t="n">
        <v>3.09524312977768</v>
      </c>
      <c r="E5" s="22" t="n">
        <v>34.4660716933929</v>
      </c>
      <c r="F5" s="23" t="n">
        <v>0.921988058690684</v>
      </c>
      <c r="G5" s="20" t="n">
        <v>5.44045557537447</v>
      </c>
      <c r="H5" s="22" t="n">
        <v>39.0414961018266</v>
      </c>
      <c r="I5" s="23" t="n">
        <v>1.04438340172673</v>
      </c>
      <c r="J5" s="24" t="n">
        <f aca="false">ABS(I5-F5)</f>
        <v>0.122395343036047</v>
      </c>
      <c r="K5" s="20" t="n">
        <v>2.31812208367457</v>
      </c>
      <c r="L5" s="22" t="n">
        <v>34.9520952485501</v>
      </c>
      <c r="M5" s="23" t="n">
        <v>0.934989479858831</v>
      </c>
      <c r="N5" s="20" t="n">
        <v>0.777121046103116</v>
      </c>
      <c r="O5" s="22" t="n">
        <v>33.0162821888547</v>
      </c>
      <c r="P5" s="23" t="n">
        <v>0.8832053212006</v>
      </c>
      <c r="Q5" s="25" t="n">
        <f aca="false">ABS(P5-I5)</f>
        <v>0.161178080526131</v>
      </c>
    </row>
    <row r="6" customFormat="false" ht="14.5" hidden="false" customHeight="false" outlineLevel="0" collapsed="false">
      <c r="A6" s="19" t="s">
        <v>18</v>
      </c>
      <c r="B6" s="20" t="n">
        <v>8.53569870515215</v>
      </c>
      <c r="C6" s="21" t="n">
        <v>46.982563736802</v>
      </c>
      <c r="D6" s="20" t="n">
        <v>3.09524312977768</v>
      </c>
      <c r="E6" s="22" t="n">
        <v>42.0208886147134</v>
      </c>
      <c r="F6" s="23" t="n">
        <v>0.894393265768039</v>
      </c>
      <c r="G6" s="20" t="n">
        <v>5.44045557537447</v>
      </c>
      <c r="H6" s="22" t="n">
        <v>49.8054138862174</v>
      </c>
      <c r="I6" s="23" t="n">
        <v>1.06008293130254</v>
      </c>
      <c r="J6" s="24" t="n">
        <f aca="false">ABS(I6-F6)</f>
        <v>0.165689665534499</v>
      </c>
      <c r="K6" s="20" t="n">
        <v>2.31812208367456</v>
      </c>
      <c r="L6" s="22" t="n">
        <v>42.6898703040716</v>
      </c>
      <c r="M6" s="23" t="n">
        <v>0.908632201154917</v>
      </c>
      <c r="N6" s="20" t="n">
        <v>0.777121046103116</v>
      </c>
      <c r="O6" s="22" t="n">
        <v>40.0253420580328</v>
      </c>
      <c r="P6" s="23" t="n">
        <v>0.851919071131499</v>
      </c>
      <c r="Q6" s="25" t="n">
        <f aca="false">ABS(P6-I6)</f>
        <v>0.208163860171038</v>
      </c>
    </row>
    <row r="7" customFormat="false" ht="14.5" hidden="false" customHeight="false" outlineLevel="0" collapsed="false">
      <c r="A7" s="19" t="s">
        <v>19</v>
      </c>
      <c r="B7" s="20" t="n">
        <v>8.53569870515215</v>
      </c>
      <c r="C7" s="21" t="n">
        <v>56.4147739706586</v>
      </c>
      <c r="D7" s="20" t="n">
        <v>3.09524312977768</v>
      </c>
      <c r="E7" s="22" t="n">
        <v>44.764960187984</v>
      </c>
      <c r="F7" s="23" t="n">
        <v>0.793497111435141</v>
      </c>
      <c r="G7" s="20" t="n">
        <v>5.44045557537447</v>
      </c>
      <c r="H7" s="22" t="n">
        <v>63.0427126744005</v>
      </c>
      <c r="I7" s="23" t="n">
        <v>1.11748586827963</v>
      </c>
      <c r="J7" s="24" t="n">
        <f aca="false">ABS(I7-F7)</f>
        <v>0.323988756844489</v>
      </c>
      <c r="K7" s="20" t="n">
        <v>2.31812208367456</v>
      </c>
      <c r="L7" s="22" t="n">
        <v>45.6764421093837</v>
      </c>
      <c r="M7" s="23" t="n">
        <v>0.809653906140616</v>
      </c>
      <c r="N7" s="20" t="n">
        <v>0.777121046103116</v>
      </c>
      <c r="O7" s="22" t="n">
        <v>42.0460447996258</v>
      </c>
      <c r="P7" s="23" t="n">
        <v>0.74530201648054</v>
      </c>
      <c r="Q7" s="25" t="n">
        <f aca="false">ABS(P7-I7)</f>
        <v>0.37218385179909</v>
      </c>
    </row>
    <row r="8" customFormat="false" ht="14.5" hidden="false" customHeight="false" outlineLevel="0" collapsed="false">
      <c r="A8" s="19" t="s">
        <v>20</v>
      </c>
      <c r="B8" s="20" t="n">
        <v>8.53569870515215</v>
      </c>
      <c r="C8" s="21" t="n">
        <v>59.3926027823195</v>
      </c>
      <c r="D8" s="20" t="n">
        <v>3.09524312977768</v>
      </c>
      <c r="E8" s="22" t="n">
        <v>43.1367109241225</v>
      </c>
      <c r="F8" s="23" t="n">
        <v>0.7262977021267</v>
      </c>
      <c r="G8" s="20" t="n">
        <v>5.44045557537447</v>
      </c>
      <c r="H8" s="22" t="n">
        <v>68.6410814980068</v>
      </c>
      <c r="I8" s="23" t="n">
        <v>1.15571768675611</v>
      </c>
      <c r="J8" s="24" t="n">
        <f aca="false">ABS(I8-F8)</f>
        <v>0.429419984629411</v>
      </c>
      <c r="K8" s="20" t="n">
        <v>2.31812208367456</v>
      </c>
      <c r="L8" s="22" t="n">
        <v>44.2268416494848</v>
      </c>
      <c r="M8" s="23" t="n">
        <v>0.744652356987639</v>
      </c>
      <c r="N8" s="20" t="n">
        <v>0.777121046103116</v>
      </c>
      <c r="O8" s="22" t="n">
        <v>39.8848930493827</v>
      </c>
      <c r="P8" s="23" t="n">
        <v>0.671546475165691</v>
      </c>
      <c r="Q8" s="25" t="n">
        <f aca="false">ABS(P8-I8)</f>
        <v>0.48417121159042</v>
      </c>
    </row>
    <row r="9" customFormat="false" ht="14.5" hidden="false" customHeight="false" outlineLevel="0" collapsed="false">
      <c r="A9" s="19" t="s">
        <v>21</v>
      </c>
      <c r="B9" s="20" t="n">
        <v>8.53569870515215</v>
      </c>
      <c r="C9" s="21" t="n">
        <v>54.2134269129426</v>
      </c>
      <c r="D9" s="20" t="n">
        <v>3.09524312977768</v>
      </c>
      <c r="E9" s="22" t="n">
        <v>42.6965793749958</v>
      </c>
      <c r="F9" s="23" t="n">
        <v>0.787564664442983</v>
      </c>
      <c r="G9" s="20" t="n">
        <v>5.44045557537447</v>
      </c>
      <c r="H9" s="22" t="n">
        <v>60.7657170152421</v>
      </c>
      <c r="I9" s="23" t="n">
        <v>1.12086102051474</v>
      </c>
      <c r="J9" s="24" t="n">
        <f aca="false">ABS(I9-F9)</f>
        <v>0.333296356071758</v>
      </c>
      <c r="K9" s="20" t="n">
        <v>2.31812208367456</v>
      </c>
      <c r="L9" s="22" t="n">
        <v>43.5658813366676</v>
      </c>
      <c r="M9" s="23" t="n">
        <v>0.803599473736034</v>
      </c>
      <c r="N9" s="20" t="n">
        <v>0.777121046103116</v>
      </c>
      <c r="O9" s="22" t="n">
        <v>40.1034851783607</v>
      </c>
      <c r="P9" s="23" t="n">
        <v>0.739733447265011</v>
      </c>
      <c r="Q9" s="25" t="n">
        <f aca="false">ABS(P9-I9)</f>
        <v>0.38112757324973</v>
      </c>
    </row>
    <row r="10" customFormat="false" ht="14.5" hidden="false" customHeight="false" outlineLevel="0" collapsed="false">
      <c r="A10" s="19" t="s">
        <v>22</v>
      </c>
      <c r="B10" s="20" t="n">
        <v>8.53569870515215</v>
      </c>
      <c r="C10" s="21" t="n">
        <v>48.9271554873471</v>
      </c>
      <c r="D10" s="20" t="n">
        <v>3.09524312977768</v>
      </c>
      <c r="E10" s="22" t="n">
        <v>47.282556667007</v>
      </c>
      <c r="F10" s="23" t="n">
        <v>0.966386788605248</v>
      </c>
      <c r="G10" s="20" t="n">
        <v>5.44045557537447</v>
      </c>
      <c r="H10" s="22" t="n">
        <v>49.8628185268432</v>
      </c>
      <c r="I10" s="23" t="n">
        <v>1.0191235936399</v>
      </c>
      <c r="J10" s="24" t="n">
        <f aca="false">ABS(I10-F10)</f>
        <v>0.0527368050346478</v>
      </c>
      <c r="K10" s="20" t="n">
        <v>2.31812208367456</v>
      </c>
      <c r="L10" s="22" t="n">
        <v>48.7934595119809</v>
      </c>
      <c r="M10" s="23" t="n">
        <v>0.997267448433605</v>
      </c>
      <c r="N10" s="20" t="n">
        <v>0.777121046103116</v>
      </c>
      <c r="O10" s="22" t="n">
        <v>42.7755918012582</v>
      </c>
      <c r="P10" s="23" t="n">
        <v>0.874270972329881</v>
      </c>
      <c r="Q10" s="25" t="n">
        <f aca="false">ABS(P10-I10)</f>
        <v>0.144852621310015</v>
      </c>
    </row>
    <row r="11" customFormat="false" ht="14.5" hidden="false" customHeight="false" outlineLevel="0" collapsed="false">
      <c r="A11" s="19" t="s">
        <v>23</v>
      </c>
      <c r="B11" s="20" t="n">
        <v>8.53569870515215</v>
      </c>
      <c r="C11" s="21" t="n">
        <v>46.2136211041882</v>
      </c>
      <c r="D11" s="20" t="n">
        <v>3.09524312977768</v>
      </c>
      <c r="E11" s="22" t="n">
        <v>44.6670547142379</v>
      </c>
      <c r="F11" s="23" t="n">
        <v>0.966534403645549</v>
      </c>
      <c r="G11" s="20" t="n">
        <v>5.44045557537447</v>
      </c>
      <c r="H11" s="22" t="n">
        <v>47.0935104676647</v>
      </c>
      <c r="I11" s="23" t="n">
        <v>1.01903961088643</v>
      </c>
      <c r="J11" s="24" t="n">
        <f aca="false">ABS(I11-F11)</f>
        <v>0.0525052072408793</v>
      </c>
      <c r="K11" s="20" t="n">
        <v>2.31812208367456</v>
      </c>
      <c r="L11" s="22" t="n">
        <v>45.2159497062103</v>
      </c>
      <c r="M11" s="23" t="n">
        <v>0.978411745841586</v>
      </c>
      <c r="N11" s="20" t="n">
        <v>0.777121046103116</v>
      </c>
      <c r="O11" s="22" t="n">
        <v>43.0297221405157</v>
      </c>
      <c r="P11" s="23" t="n">
        <v>0.931104750339853</v>
      </c>
      <c r="Q11" s="25" t="n">
        <f aca="false">ABS(P11-I11)</f>
        <v>0.0879348605465756</v>
      </c>
    </row>
    <row r="12" customFormat="false" ht="14.5" hidden="false" customHeight="false" outlineLevel="0" collapsed="false">
      <c r="A12" s="19" t="s">
        <v>24</v>
      </c>
      <c r="B12" s="20" t="n">
        <v>8.53569870515215</v>
      </c>
      <c r="C12" s="21" t="n">
        <v>46.4644992118229</v>
      </c>
      <c r="D12" s="20" t="n">
        <v>3.09524312977768</v>
      </c>
      <c r="E12" s="22" t="n">
        <v>41.6430716071817</v>
      </c>
      <c r="F12" s="23" t="n">
        <v>0.896234164008501</v>
      </c>
      <c r="G12" s="20" t="n">
        <v>5.44045557537447</v>
      </c>
      <c r="H12" s="22" t="n">
        <v>49.2075582189647</v>
      </c>
      <c r="I12" s="23" t="n">
        <v>1.05903558746295</v>
      </c>
      <c r="J12" s="24" t="n">
        <f aca="false">ABS(I12-F12)</f>
        <v>0.162801423454451</v>
      </c>
      <c r="K12" s="20" t="n">
        <v>2.31812208367455</v>
      </c>
      <c r="L12" s="22" t="n">
        <v>42.7977234934255</v>
      </c>
      <c r="M12" s="23" t="n">
        <v>0.921084359444373</v>
      </c>
      <c r="N12" s="20" t="n">
        <v>0.777121046103119</v>
      </c>
      <c r="O12" s="22" t="n">
        <v>38.1987896000478</v>
      </c>
      <c r="P12" s="23" t="n">
        <v>0.822106990240155</v>
      </c>
      <c r="Q12" s="25" t="n">
        <f aca="false">ABS(P12-I12)</f>
        <v>0.236928597222797</v>
      </c>
    </row>
    <row r="13" customFormat="false" ht="14.5" hidden="false" customHeight="false" outlineLevel="0" collapsed="false">
      <c r="A13" s="19" t="s">
        <v>25</v>
      </c>
      <c r="B13" s="20" t="n">
        <v>8.53569870515215</v>
      </c>
      <c r="C13" s="21" t="n">
        <v>46.3024851402296</v>
      </c>
      <c r="D13" s="20" t="n">
        <v>3.09524312977768</v>
      </c>
      <c r="E13" s="22" t="n">
        <v>42.3580008900478</v>
      </c>
      <c r="F13" s="23" t="n">
        <v>0.914810528241935</v>
      </c>
      <c r="G13" s="20" t="n">
        <v>5.44045557537447</v>
      </c>
      <c r="H13" s="22" t="n">
        <v>48.5466240007976</v>
      </c>
      <c r="I13" s="23" t="n">
        <v>1.04846692037742</v>
      </c>
      <c r="J13" s="24" t="n">
        <f aca="false">ABS(I13-F13)</f>
        <v>0.13365639213548</v>
      </c>
      <c r="K13" s="20" t="n">
        <v>2.31812208367454</v>
      </c>
      <c r="L13" s="22" t="n">
        <v>42.3739100533402</v>
      </c>
      <c r="M13" s="23" t="n">
        <v>0.915154120238007</v>
      </c>
      <c r="N13" s="20" t="n">
        <v>0.777121046103119</v>
      </c>
      <c r="O13" s="22" t="n">
        <v>42.3105444700399</v>
      </c>
      <c r="P13" s="23" t="n">
        <v>0.913785606580297</v>
      </c>
      <c r="Q13" s="25" t="n">
        <f aca="false">ABS(P13-I13)</f>
        <v>0.134681313797118</v>
      </c>
    </row>
    <row r="14" customFormat="false" ht="14.5" hidden="false" customHeight="false" outlineLevel="0" collapsed="false">
      <c r="A14" s="19" t="s">
        <v>26</v>
      </c>
      <c r="B14" s="20" t="n">
        <v>8.53569870515215</v>
      </c>
      <c r="C14" s="21" t="n">
        <v>46.3671260102638</v>
      </c>
      <c r="D14" s="20" t="n">
        <v>3.09524312977768</v>
      </c>
      <c r="E14" s="22" t="n">
        <v>42.5223907338089</v>
      </c>
      <c r="F14" s="23" t="n">
        <v>0.917080578261335</v>
      </c>
      <c r="G14" s="20" t="n">
        <v>5.44045557537447</v>
      </c>
      <c r="H14" s="22" t="n">
        <v>48.5545146003162</v>
      </c>
      <c r="I14" s="23" t="n">
        <v>1.0471754188424</v>
      </c>
      <c r="J14" s="24" t="n">
        <f aca="false">ABS(I14-F14)</f>
        <v>0.130094840581062</v>
      </c>
      <c r="K14" s="20" t="n">
        <v>2.31812208367453</v>
      </c>
      <c r="L14" s="22" t="n">
        <v>42.4541054368367</v>
      </c>
      <c r="M14" s="23" t="n">
        <v>0.915607868976808</v>
      </c>
      <c r="N14" s="20" t="n">
        <v>0.777121046103119</v>
      </c>
      <c r="O14" s="22" t="n">
        <v>42.7260831388661</v>
      </c>
      <c r="P14" s="23" t="n">
        <v>0.92147361321054</v>
      </c>
      <c r="Q14" s="25" t="n">
        <f aca="false">ABS(P14-I14)</f>
        <v>0.125701805631857</v>
      </c>
    </row>
    <row r="15" customFormat="false" ht="14.5" hidden="false" customHeight="false" outlineLevel="0" collapsed="false">
      <c r="A15" s="19" t="s">
        <v>27</v>
      </c>
      <c r="B15" s="20" t="n">
        <v>8.53569870515215</v>
      </c>
      <c r="C15" s="21" t="n">
        <v>45.6625988208675</v>
      </c>
      <c r="D15" s="20" t="n">
        <v>3.09524312977768</v>
      </c>
      <c r="E15" s="22" t="n">
        <v>39.2024858121216</v>
      </c>
      <c r="F15" s="23" t="n">
        <v>0.858525069190899</v>
      </c>
      <c r="G15" s="20" t="n">
        <v>5.44045557537447</v>
      </c>
      <c r="H15" s="22" t="n">
        <v>49.3379565424554</v>
      </c>
      <c r="I15" s="23" t="n">
        <v>1.08048945562661</v>
      </c>
      <c r="J15" s="24" t="n">
        <f aca="false">ABS(I15-F15)</f>
        <v>0.22196438643571</v>
      </c>
      <c r="K15" s="20" t="n">
        <v>2.31812208367452</v>
      </c>
      <c r="L15" s="22" t="n">
        <v>39.3875485256933</v>
      </c>
      <c r="M15" s="23" t="n">
        <v>0.862577898384825</v>
      </c>
      <c r="N15" s="20" t="n">
        <v>0.777121046103119</v>
      </c>
      <c r="O15" s="22" t="n">
        <v>38.6504508809527</v>
      </c>
      <c r="P15" s="23" t="n">
        <v>0.846435636144514</v>
      </c>
      <c r="Q15" s="25" t="n">
        <f aca="false">ABS(P15-I15)</f>
        <v>0.234053819482096</v>
      </c>
    </row>
    <row r="16" customFormat="false" ht="14.5" hidden="false" customHeight="false" outlineLevel="0" collapsed="false">
      <c r="A16" s="19" t="s">
        <v>28</v>
      </c>
      <c r="B16" s="20" t="n">
        <v>8.53569870515215</v>
      </c>
      <c r="C16" s="21" t="n">
        <v>43.0198797475719</v>
      </c>
      <c r="D16" s="20" t="n">
        <v>3.09524312977768</v>
      </c>
      <c r="E16" s="22" t="n">
        <v>46.2030972288276</v>
      </c>
      <c r="F16" s="23" t="n">
        <v>1.07399410458453</v>
      </c>
      <c r="G16" s="20" t="n">
        <v>5.44045557537447</v>
      </c>
      <c r="H16" s="22" t="n">
        <v>41.2088490530024</v>
      </c>
      <c r="I16" s="23" t="n">
        <v>0.957902469621112</v>
      </c>
      <c r="J16" s="24" t="n">
        <f aca="false">ABS(I16-F16)</f>
        <v>0.116091634963418</v>
      </c>
      <c r="K16" s="20" t="n">
        <v>2.31812208367454</v>
      </c>
      <c r="L16" s="22" t="n">
        <v>45.5329328410816</v>
      </c>
      <c r="M16" s="23" t="n">
        <v>1.05841608828884</v>
      </c>
      <c r="N16" s="20" t="n">
        <v>0.77712104610312</v>
      </c>
      <c r="O16" s="22" t="n">
        <v>48.2021717291473</v>
      </c>
      <c r="P16" s="23" t="n">
        <v>1.12046272588356</v>
      </c>
      <c r="Q16" s="25" t="n">
        <f aca="false">ABS(P16-I16)</f>
        <v>0.162560256262446</v>
      </c>
    </row>
    <row r="17" customFormat="false" ht="14.5" hidden="false" customHeight="false" outlineLevel="0" collapsed="false">
      <c r="A17" s="26" t="s">
        <v>29</v>
      </c>
      <c r="B17" s="27" t="n">
        <v>8.53569870515215</v>
      </c>
      <c r="C17" s="28" t="n">
        <v>46.4065839066949</v>
      </c>
      <c r="D17" s="27" t="n">
        <v>3.09524312977768</v>
      </c>
      <c r="E17" s="29" t="n">
        <v>43.0367659202171</v>
      </c>
      <c r="F17" s="30" t="n">
        <v>0.927384916044388</v>
      </c>
      <c r="G17" s="27" t="n">
        <v>5.44045557537447</v>
      </c>
      <c r="H17" s="29" t="n">
        <v>48.3237773892515</v>
      </c>
      <c r="I17" s="30" t="n">
        <v>1.04131296297119</v>
      </c>
      <c r="J17" s="31" t="n">
        <f aca="false">ABS(I17-F17)</f>
        <v>0.113928046926799</v>
      </c>
      <c r="K17" s="27" t="n">
        <v>2.31812208367454</v>
      </c>
      <c r="L17" s="29" t="n">
        <v>43.7696761517773</v>
      </c>
      <c r="M17" s="30" t="n">
        <v>0.943178154198565</v>
      </c>
      <c r="N17" s="27" t="n">
        <v>0.77712104610312</v>
      </c>
      <c r="O17" s="29" t="n">
        <v>40.8505229897877</v>
      </c>
      <c r="P17" s="30" t="n">
        <v>0.880274296249037</v>
      </c>
      <c r="Q17" s="32" t="n">
        <f aca="false">ABS(P17-I17)</f>
        <v>0.161038666722151</v>
      </c>
    </row>
    <row r="18" customFormat="false" ht="14.5" hidden="false" customHeight="false" outlineLevel="0" collapsed="false">
      <c r="A18" s="33" t="s">
        <v>30</v>
      </c>
      <c r="B18" s="27" t="n">
        <v>8.53569870515215</v>
      </c>
      <c r="C18" s="29" t="n">
        <v>47.6675938526855</v>
      </c>
      <c r="D18" s="27" t="n">
        <v>3.09524312977768</v>
      </c>
      <c r="E18" s="29" t="n">
        <v>44.7920949650878</v>
      </c>
      <c r="F18" s="34" t="n">
        <v>0.939676021901079</v>
      </c>
      <c r="G18" s="27" t="n">
        <v>5.44045557537447</v>
      </c>
      <c r="H18" s="29" t="n">
        <v>49.3035539397058</v>
      </c>
      <c r="I18" s="34" t="n">
        <v>1.03432017340913</v>
      </c>
      <c r="J18" s="35" t="n">
        <v>0.0946441515080556</v>
      </c>
      <c r="K18" s="27" t="n">
        <v>2.31812208367456</v>
      </c>
      <c r="L18" s="29" t="n">
        <v>43.9906508362469</v>
      </c>
      <c r="M18" s="34" t="n">
        <v>0.922862835749546</v>
      </c>
      <c r="N18" s="27" t="n">
        <v>0.777121046103116</v>
      </c>
      <c r="O18" s="29" t="n">
        <v>47.1827718656988</v>
      </c>
      <c r="P18" s="34" t="n">
        <v>0.989829107202579</v>
      </c>
      <c r="Q18" s="35" t="n">
        <v>0.0444910662065556</v>
      </c>
    </row>
    <row r="19" s="36" customFormat="true" ht="14.5" hidden="false" customHeight="false" outlineLevel="0" collapsed="false">
      <c r="B19" s="37"/>
      <c r="D19" s="37"/>
      <c r="G19" s="37"/>
      <c r="K19" s="37"/>
      <c r="N19" s="37"/>
    </row>
    <row r="24" customFormat="false" ht="13.8" hidden="false" customHeight="false" outlineLevel="0" collapsed="false">
      <c r="A24" s="0" t="s">
        <v>31</v>
      </c>
      <c r="B24" s="38" t="s">
        <v>25</v>
      </c>
      <c r="D24" s="39" t="n">
        <f aca="false">C13+C14</f>
        <v>92.6696111504934</v>
      </c>
    </row>
    <row r="25" customFormat="false" ht="13.8" hidden="false" customHeight="false" outlineLevel="0" collapsed="false">
      <c r="B25" s="38" t="s">
        <v>26</v>
      </c>
    </row>
    <row r="26" customFormat="false" ht="13.8" hidden="false" customHeight="false" outlineLevel="0" collapsed="false">
      <c r="D26" s="39"/>
    </row>
    <row r="27" customFormat="false" ht="13.8" hidden="false" customHeight="false" outlineLevel="0" collapsed="false">
      <c r="A27" s="0" t="s">
        <v>32</v>
      </c>
      <c r="B27" s="38" t="s">
        <v>22</v>
      </c>
      <c r="D27" s="39" t="n">
        <f aca="false">C10+C11</f>
        <v>95.1407765915353</v>
      </c>
    </row>
    <row r="28" customFormat="false" ht="13.8" hidden="false" customHeight="false" outlineLevel="0" collapsed="false">
      <c r="B28" s="38" t="s">
        <v>23</v>
      </c>
      <c r="D28" s="39"/>
    </row>
    <row r="29" customFormat="false" ht="13.8" hidden="false" customHeight="false" outlineLevel="0" collapsed="false">
      <c r="D29" s="39"/>
    </row>
    <row r="30" customFormat="false" ht="13.8" hidden="false" customHeight="false" outlineLevel="0" collapsed="false">
      <c r="A30" s="0" t="s">
        <v>33</v>
      </c>
      <c r="B30" s="40" t="s">
        <v>30</v>
      </c>
      <c r="D30" s="39" t="n">
        <f aca="false">C18+C17</f>
        <v>94.0741777593804</v>
      </c>
    </row>
    <row r="31" customFormat="false" ht="13.8" hidden="false" customHeight="false" outlineLevel="0" collapsed="false">
      <c r="B31" s="41" t="s">
        <v>29</v>
      </c>
      <c r="D31" s="39"/>
    </row>
    <row r="32" customFormat="false" ht="13.8" hidden="false" customHeight="false" outlineLevel="0" collapsed="false">
      <c r="D32" s="39"/>
    </row>
    <row r="33" customFormat="false" ht="13.8" hidden="false" customHeight="false" outlineLevel="0" collapsed="false">
      <c r="D33" s="39"/>
    </row>
    <row r="34" customFormat="false" ht="13.8" hidden="false" customHeight="false" outlineLevel="0" collapsed="false">
      <c r="D34" s="39"/>
    </row>
    <row r="35" customFormat="false" ht="13.8" hidden="false" customHeight="false" outlineLevel="0" collapsed="false">
      <c r="D35" s="39"/>
    </row>
    <row r="36" customFormat="false" ht="13.8" hidden="false" customHeight="false" outlineLevel="0" collapsed="false">
      <c r="D36" s="39"/>
    </row>
    <row r="37" customFormat="false" ht="13.8" hidden="false" customHeight="false" outlineLevel="0" collapsed="false">
      <c r="D37" s="39"/>
    </row>
    <row r="38" customFormat="false" ht="13.8" hidden="false" customHeight="false" outlineLevel="0" collapsed="false">
      <c r="D38" s="39"/>
    </row>
    <row r="39" customFormat="false" ht="13.8" hidden="false" customHeight="false" outlineLevel="0" collapsed="false">
      <c r="D39" s="39"/>
    </row>
    <row r="40" customFormat="false" ht="13.8" hidden="false" customHeight="false" outlineLevel="0" collapsed="false">
      <c r="D40" s="39"/>
    </row>
    <row r="41" customFormat="false" ht="13.8" hidden="false" customHeight="false" outlineLevel="0" collapsed="false">
      <c r="D41" s="39"/>
    </row>
  </sheetData>
  <mergeCells count="6">
    <mergeCell ref="A1:Q1"/>
    <mergeCell ref="B2:C2"/>
    <mergeCell ref="D2:F2"/>
    <mergeCell ref="G2:I2"/>
    <mergeCell ref="K2:M2"/>
    <mergeCell ref="N2:P2"/>
  </mergeCells>
  <conditionalFormatting sqref="J5:J18 Q5:Q18">
    <cfRule type="cellIs" priority="2" operator="greaterThanOrEqual" aboveAverage="0" equalAverage="0" bottom="0" percent="0" rank="0" text="" dxfId="0">
      <formula>0.15</formula>
    </cfRule>
    <cfRule type="cellIs" priority="3" operator="lessThan" aboveAverage="0" equalAverage="0" bottom="0" percent="0" rank="0" text="" dxfId="1">
      <formula>0.15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40" activeCellId="0" sqref="D40"/>
    </sheetView>
  </sheetViews>
  <sheetFormatPr defaultColWidth="9.1796875" defaultRowHeight="14.5" zeroHeight="false" outlineLevelRow="0" outlineLevelCol="0"/>
  <cols>
    <col collapsed="false" customWidth="true" hidden="false" outlineLevel="0" max="1" min="1" style="0" width="13.72"/>
    <col collapsed="false" customWidth="true" hidden="false" outlineLevel="0" max="2" min="2" style="0" width="6.82"/>
    <col collapsed="false" customWidth="true" hidden="false" outlineLevel="0" max="4" min="4" style="0" width="7.27"/>
    <col collapsed="false" customWidth="true" hidden="false" outlineLevel="0" max="5" min="5" style="0" width="11.27"/>
    <col collapsed="false" customWidth="true" hidden="false" outlineLevel="0" max="6" min="6" style="0" width="10.82"/>
    <col collapsed="false" customWidth="true" hidden="false" outlineLevel="0" max="8" min="8" style="0" width="10.45"/>
    <col collapsed="false" customWidth="true" hidden="false" outlineLevel="0" max="9" min="9" style="0" width="10.82"/>
    <col collapsed="false" customWidth="true" hidden="false" outlineLevel="0" max="10" min="10" style="0" width="10.45"/>
    <col collapsed="false" customWidth="true" hidden="false" outlineLevel="0" max="11" min="11" style="42" width="11.72"/>
    <col collapsed="false" customWidth="true" hidden="false" outlineLevel="0" max="12" min="12" style="42" width="10"/>
    <col collapsed="false" customWidth="false" hidden="false" outlineLevel="0" max="13" min="13" style="43" width="9.18"/>
  </cols>
  <sheetData>
    <row r="1" customFormat="false" ht="26.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8" customFormat="true" ht="14.5" hidden="false" customHeight="false" outlineLevel="0" collapsed="false">
      <c r="A2" s="44" t="s">
        <v>1</v>
      </c>
      <c r="B2" s="45" t="s">
        <v>2</v>
      </c>
      <c r="C2" s="45"/>
      <c r="D2" s="45" t="s">
        <v>35</v>
      </c>
      <c r="E2" s="45"/>
      <c r="F2" s="45"/>
      <c r="G2" s="45" t="s">
        <v>4</v>
      </c>
      <c r="H2" s="45"/>
      <c r="I2" s="45"/>
      <c r="J2" s="46" t="s">
        <v>5</v>
      </c>
      <c r="K2" s="47" t="s">
        <v>36</v>
      </c>
      <c r="N2" s="49"/>
    </row>
    <row r="3" s="48" customFormat="true" ht="16.5" hidden="false" customHeight="false" outlineLevel="0" collapsed="false">
      <c r="A3" s="50" t="s">
        <v>37</v>
      </c>
      <c r="B3" s="51" t="s">
        <v>9</v>
      </c>
      <c r="C3" s="52" t="s">
        <v>38</v>
      </c>
      <c r="D3" s="51" t="s">
        <v>9</v>
      </c>
      <c r="E3" s="53" t="s">
        <v>38</v>
      </c>
      <c r="F3" s="54" t="s">
        <v>11</v>
      </c>
      <c r="G3" s="51" t="s">
        <v>9</v>
      </c>
      <c r="H3" s="53" t="s">
        <v>38</v>
      </c>
      <c r="I3" s="54" t="s">
        <v>11</v>
      </c>
      <c r="J3" s="53" t="s">
        <v>39</v>
      </c>
      <c r="K3" s="55" t="s">
        <v>40</v>
      </c>
      <c r="N3" s="49"/>
    </row>
    <row r="4" s="48" customFormat="true" ht="14.5" hidden="false" customHeight="false" outlineLevel="0" collapsed="false">
      <c r="A4" s="56" t="s">
        <v>41</v>
      </c>
      <c r="B4" s="57" t="s">
        <v>14</v>
      </c>
      <c r="C4" s="58" t="s">
        <v>15</v>
      </c>
      <c r="D4" s="57" t="s">
        <v>14</v>
      </c>
      <c r="E4" s="59" t="s">
        <v>15</v>
      </c>
      <c r="F4" s="60" t="s">
        <v>16</v>
      </c>
      <c r="G4" s="57" t="s">
        <v>14</v>
      </c>
      <c r="H4" s="59" t="s">
        <v>15</v>
      </c>
      <c r="I4" s="60" t="s">
        <v>16</v>
      </c>
      <c r="J4" s="61" t="s">
        <v>16</v>
      </c>
      <c r="K4" s="55" t="s">
        <v>42</v>
      </c>
      <c r="N4" s="49"/>
    </row>
    <row r="5" customFormat="false" ht="14.5" hidden="false" customHeight="false" outlineLevel="0" collapsed="false">
      <c r="A5" s="62" t="s">
        <v>43</v>
      </c>
      <c r="B5" s="63" t="n">
        <v>8.51156724185329</v>
      </c>
      <c r="C5" s="64" t="n">
        <v>45.6074903855751</v>
      </c>
      <c r="D5" s="63" t="n">
        <v>3.14159265358979</v>
      </c>
      <c r="E5" s="65" t="n">
        <v>48.509278864458</v>
      </c>
      <c r="F5" s="66" t="n">
        <v>1.06362526099004</v>
      </c>
      <c r="G5" s="63" t="n">
        <v>5.36997458826349</v>
      </c>
      <c r="H5" s="65" t="n">
        <v>43.9098590061912</v>
      </c>
      <c r="I5" s="66" t="n">
        <v>0.962777355977456</v>
      </c>
      <c r="J5" s="67" t="n">
        <f aca="false">ABS(I5-F5)</f>
        <v>0.100847905012583</v>
      </c>
      <c r="K5" s="68" t="s">
        <v>44</v>
      </c>
      <c r="M5" s="42"/>
      <c r="N5" s="43"/>
    </row>
    <row r="6" customFormat="false" ht="14.5" hidden="false" customHeight="false" outlineLevel="0" collapsed="false">
      <c r="A6" s="62" t="s">
        <v>45</v>
      </c>
      <c r="B6" s="63" t="n">
        <v>8.50949894291387</v>
      </c>
      <c r="C6" s="64" t="n">
        <v>45.6590638258349</v>
      </c>
      <c r="D6" s="63" t="n">
        <v>3.14159265358979</v>
      </c>
      <c r="E6" s="65" t="n">
        <v>43.5131654401966</v>
      </c>
      <c r="F6" s="66" t="n">
        <v>0.953001699863496</v>
      </c>
      <c r="G6" s="63" t="n">
        <v>5.36790628932408</v>
      </c>
      <c r="H6" s="65" t="n">
        <v>46.9149610491303</v>
      </c>
      <c r="I6" s="66" t="n">
        <v>1.02750597839864</v>
      </c>
      <c r="J6" s="67" t="n">
        <f aca="false">ABS(I6-F6)</f>
        <v>0.0745042785351393</v>
      </c>
      <c r="K6" s="69"/>
      <c r="M6" s="42"/>
      <c r="N6" s="43"/>
    </row>
    <row r="7" customFormat="false" ht="14.5" hidden="false" customHeight="false" outlineLevel="0" collapsed="false">
      <c r="A7" s="70" t="s">
        <v>46</v>
      </c>
      <c r="B7" s="63" t="n">
        <v>8.50949894291386</v>
      </c>
      <c r="C7" s="64" t="n">
        <v>53.3772664187814</v>
      </c>
      <c r="D7" s="63" t="n">
        <v>3.14159265358979</v>
      </c>
      <c r="E7" s="65" t="n">
        <v>52.3033774450418</v>
      </c>
      <c r="F7" s="66" t="n">
        <v>0.979881154547814</v>
      </c>
      <c r="G7" s="63" t="n">
        <v>5.36790628932407</v>
      </c>
      <c r="H7" s="65" t="n">
        <v>54.0057650416768</v>
      </c>
      <c r="I7" s="66" t="n">
        <v>1.01177464986619</v>
      </c>
      <c r="J7" s="67" t="n">
        <f aca="false">ABS(I7-F7)</f>
        <v>0.0318934953183732</v>
      </c>
      <c r="K7" s="69" t="s">
        <v>47</v>
      </c>
      <c r="M7" s="42"/>
      <c r="N7" s="43"/>
    </row>
    <row r="8" customFormat="false" ht="14.5" hidden="false" customHeight="false" outlineLevel="0" collapsed="false">
      <c r="A8" s="70" t="s">
        <v>48</v>
      </c>
      <c r="B8" s="63" t="n">
        <v>8.50949894291386</v>
      </c>
      <c r="C8" s="64" t="n">
        <v>54.1685428687711</v>
      </c>
      <c r="D8" s="63" t="n">
        <v>3.14159265358979</v>
      </c>
      <c r="E8" s="65" t="n">
        <v>53.107274951492</v>
      </c>
      <c r="F8" s="66" t="n">
        <v>0.980408040145179</v>
      </c>
      <c r="G8" s="63" t="n">
        <v>5.36790628932407</v>
      </c>
      <c r="H8" s="65" t="n">
        <v>54.7896549584224</v>
      </c>
      <c r="I8" s="66" t="n">
        <v>1.0114662875676</v>
      </c>
      <c r="J8" s="67" t="n">
        <f aca="false">ABS(I8-F8)</f>
        <v>0.0310582474224228</v>
      </c>
      <c r="K8" s="69" t="s">
        <v>47</v>
      </c>
      <c r="M8" s="42"/>
      <c r="N8" s="43"/>
    </row>
    <row r="9" customFormat="false" ht="14.5" hidden="false" customHeight="false" outlineLevel="0" collapsed="false">
      <c r="A9" s="70" t="s">
        <v>49</v>
      </c>
      <c r="B9" s="63" t="n">
        <v>8.50949894291386</v>
      </c>
      <c r="C9" s="64" t="n">
        <v>55.6023957414499</v>
      </c>
      <c r="D9" s="63" t="n">
        <v>3.14159265358979</v>
      </c>
      <c r="E9" s="65" t="n">
        <v>55.4408546339786</v>
      </c>
      <c r="F9" s="66" t="n">
        <v>0.997094709583694</v>
      </c>
      <c r="G9" s="63" t="n">
        <v>5.36790628932407</v>
      </c>
      <c r="H9" s="65" t="n">
        <v>55.696938441924</v>
      </c>
      <c r="I9" s="66" t="n">
        <v>1.00170033501639</v>
      </c>
      <c r="J9" s="67" t="n">
        <f aca="false">ABS(I9-F9)</f>
        <v>0.00460562543269105</v>
      </c>
      <c r="K9" s="69" t="s">
        <v>47</v>
      </c>
      <c r="M9" s="42"/>
      <c r="N9" s="43"/>
    </row>
    <row r="10" customFormat="false" ht="14.5" hidden="false" customHeight="false" outlineLevel="0" collapsed="false">
      <c r="A10" s="62" t="s">
        <v>50</v>
      </c>
      <c r="B10" s="63" t="n">
        <v>8.50949894291386</v>
      </c>
      <c r="C10" s="64" t="n">
        <v>57.088031210222</v>
      </c>
      <c r="D10" s="63" t="n">
        <v>3.14159265358979</v>
      </c>
      <c r="E10" s="65" t="n">
        <v>58.7447420247334</v>
      </c>
      <c r="F10" s="66" t="n">
        <v>1.02902028287524</v>
      </c>
      <c r="G10" s="63" t="n">
        <v>5.36790628932407</v>
      </c>
      <c r="H10" s="65" t="n">
        <v>56.1184333365886</v>
      </c>
      <c r="I10" s="66" t="n">
        <v>0.983015741599795</v>
      </c>
      <c r="J10" s="67" t="n">
        <f aca="false">ABS(I10-F10)</f>
        <v>0.0460045412754483</v>
      </c>
      <c r="K10" s="69" t="s">
        <v>47</v>
      </c>
      <c r="M10" s="42"/>
      <c r="N10" s="43"/>
    </row>
    <row r="11" customFormat="false" ht="14.5" hidden="false" customHeight="false" outlineLevel="0" collapsed="false">
      <c r="A11" s="70" t="s">
        <v>51</v>
      </c>
      <c r="B11" s="63" t="n">
        <v>8.50949894291386</v>
      </c>
      <c r="C11" s="64" t="n">
        <v>50.6833121541526</v>
      </c>
      <c r="D11" s="63" t="n">
        <v>3.14159265358979</v>
      </c>
      <c r="E11" s="65" t="n">
        <v>49.7132738852018</v>
      </c>
      <c r="F11" s="66" t="n">
        <v>0.980860795640182</v>
      </c>
      <c r="G11" s="63" t="n">
        <v>5.36790628932407</v>
      </c>
      <c r="H11" s="65" t="n">
        <v>51.2510316587754</v>
      </c>
      <c r="I11" s="66" t="n">
        <v>1.01120131026355</v>
      </c>
      <c r="J11" s="67" t="n">
        <f aca="false">ABS(I11-F11)</f>
        <v>0.0303405146233644</v>
      </c>
      <c r="K11" s="69" t="s">
        <v>47</v>
      </c>
      <c r="M11" s="42"/>
      <c r="N11" s="43"/>
    </row>
    <row r="12" customFormat="false" ht="14.5" hidden="false" customHeight="false" outlineLevel="0" collapsed="false">
      <c r="A12" s="70" t="s">
        <v>52</v>
      </c>
      <c r="B12" s="63" t="n">
        <v>8.50949894291386</v>
      </c>
      <c r="C12" s="64" t="n">
        <v>51.6748995298402</v>
      </c>
      <c r="D12" s="63" t="n">
        <v>3.14159265358979</v>
      </c>
      <c r="E12" s="65" t="n">
        <v>50.8481238416443</v>
      </c>
      <c r="F12" s="66" t="n">
        <v>0.984000439367695</v>
      </c>
      <c r="G12" s="63" t="n">
        <v>5.36790628932407</v>
      </c>
      <c r="H12" s="65" t="n">
        <v>52.1587739285735</v>
      </c>
      <c r="I12" s="66" t="n">
        <v>1.00936381885859</v>
      </c>
      <c r="J12" s="67" t="n">
        <f aca="false">ABS(I12-F12)</f>
        <v>0.0253633794908946</v>
      </c>
      <c r="K12" s="69" t="s">
        <v>53</v>
      </c>
      <c r="M12" s="42"/>
      <c r="N12" s="43"/>
    </row>
    <row r="13" customFormat="false" ht="14.5" hidden="false" customHeight="false" outlineLevel="0" collapsed="false">
      <c r="A13" s="70" t="s">
        <v>54</v>
      </c>
      <c r="B13" s="63" t="n">
        <v>8.50949894291386</v>
      </c>
      <c r="C13" s="64" t="n">
        <v>48.5494617112391</v>
      </c>
      <c r="D13" s="63" t="n">
        <v>3.14159265358979</v>
      </c>
      <c r="E13" s="65" t="n">
        <v>46.8087872294276</v>
      </c>
      <c r="F13" s="66" t="n">
        <v>0.964146369074808</v>
      </c>
      <c r="G13" s="63" t="n">
        <v>5.36790628932407</v>
      </c>
      <c r="H13" s="65" t="n">
        <v>49.5681997199905</v>
      </c>
      <c r="I13" s="66" t="n">
        <v>1.0209835078051</v>
      </c>
      <c r="J13" s="67" t="n">
        <f aca="false">ABS(I13-F13)</f>
        <v>0.0568371387302958</v>
      </c>
      <c r="K13" s="69" t="s">
        <v>47</v>
      </c>
      <c r="M13" s="42"/>
      <c r="N13" s="43"/>
    </row>
    <row r="14" customFormat="false" ht="14.5" hidden="false" customHeight="false" outlineLevel="0" collapsed="false">
      <c r="A14" s="70" t="s">
        <v>55</v>
      </c>
      <c r="B14" s="63" t="n">
        <v>8.50949894291386</v>
      </c>
      <c r="C14" s="64" t="n">
        <v>52.330291941894</v>
      </c>
      <c r="D14" s="63" t="n">
        <v>3.14159265358979</v>
      </c>
      <c r="E14" s="65" t="n">
        <v>53.7362231710921</v>
      </c>
      <c r="F14" s="66" t="n">
        <v>1.02686648931291</v>
      </c>
      <c r="G14" s="63" t="n">
        <v>5.36790628932407</v>
      </c>
      <c r="H14" s="65" t="n">
        <v>51.507464011778</v>
      </c>
      <c r="I14" s="66" t="n">
        <v>0.984276259512757</v>
      </c>
      <c r="J14" s="67" t="n">
        <f aca="false">ABS(I14-F14)</f>
        <v>0.0425902298001488</v>
      </c>
      <c r="K14" s="69" t="s">
        <v>53</v>
      </c>
      <c r="M14" s="42"/>
      <c r="N14" s="43"/>
    </row>
    <row r="15" customFormat="false" ht="14.5" hidden="false" customHeight="false" outlineLevel="0" collapsed="false">
      <c r="A15" s="62" t="s">
        <v>56</v>
      </c>
      <c r="B15" s="63" t="n">
        <v>8.50949894291386</v>
      </c>
      <c r="C15" s="64" t="n">
        <v>51.4735210538568</v>
      </c>
      <c r="D15" s="63" t="n">
        <v>3.14159265358979</v>
      </c>
      <c r="E15" s="65" t="n">
        <v>53.8508106266959</v>
      </c>
      <c r="F15" s="66" t="n">
        <v>1.04618470864567</v>
      </c>
      <c r="G15" s="63" t="n">
        <v>5.36790628932407</v>
      </c>
      <c r="H15" s="65" t="n">
        <v>50.0822010391351</v>
      </c>
      <c r="I15" s="66" t="n">
        <v>0.972970179885965</v>
      </c>
      <c r="J15" s="67" t="n">
        <f aca="false">ABS(I15-F15)</f>
        <v>0.0732145287597052</v>
      </c>
      <c r="K15" s="69" t="s">
        <v>53</v>
      </c>
      <c r="M15" s="42"/>
      <c r="N15" s="43"/>
    </row>
    <row r="16" customFormat="false" ht="14.5" hidden="false" customHeight="false" outlineLevel="0" collapsed="false">
      <c r="A16" s="62" t="s">
        <v>57</v>
      </c>
      <c r="B16" s="63" t="n">
        <v>8.50949894291386</v>
      </c>
      <c r="C16" s="64" t="n">
        <v>50.5635856599536</v>
      </c>
      <c r="D16" s="63" t="n">
        <v>3.14159265358979</v>
      </c>
      <c r="E16" s="65" t="n">
        <v>53.6510341721083</v>
      </c>
      <c r="F16" s="66" t="n">
        <v>1.06106071141628</v>
      </c>
      <c r="G16" s="63" t="n">
        <v>5.36790628932407</v>
      </c>
      <c r="H16" s="65" t="n">
        <v>48.7566417527149</v>
      </c>
      <c r="I16" s="66" t="n">
        <v>0.964263928602877</v>
      </c>
      <c r="J16" s="67" t="n">
        <f aca="false">ABS(I16-F16)</f>
        <v>0.0967967828134022</v>
      </c>
      <c r="K16" s="69"/>
      <c r="M16" s="42"/>
      <c r="N16" s="43"/>
    </row>
    <row r="17" customFormat="false" ht="14.5" hidden="false" customHeight="false" outlineLevel="0" collapsed="false">
      <c r="A17" s="70" t="s">
        <v>58</v>
      </c>
      <c r="B17" s="63" t="n">
        <v>8.50949894291386</v>
      </c>
      <c r="C17" s="64" t="n">
        <v>52.0864838782194</v>
      </c>
      <c r="D17" s="63" t="n">
        <v>3.14159265358979</v>
      </c>
      <c r="E17" s="65" t="n">
        <v>50.0154015167314</v>
      </c>
      <c r="F17" s="66" t="n">
        <v>0.960237623903924</v>
      </c>
      <c r="G17" s="63" t="n">
        <v>5.36790628932407</v>
      </c>
      <c r="H17" s="65" t="n">
        <v>53.2985946680016</v>
      </c>
      <c r="I17" s="66" t="n">
        <v>1.02327111948306</v>
      </c>
      <c r="J17" s="67" t="n">
        <f aca="false">ABS(I17-F17)</f>
        <v>0.0630334955791308</v>
      </c>
      <c r="K17" s="69" t="s">
        <v>53</v>
      </c>
      <c r="M17" s="42"/>
      <c r="N17" s="43"/>
    </row>
    <row r="18" customFormat="false" ht="14.5" hidden="false" customHeight="false" outlineLevel="0" collapsed="false">
      <c r="A18" s="62" t="s">
        <v>59</v>
      </c>
      <c r="B18" s="63" t="n">
        <v>8.50949894291386</v>
      </c>
      <c r="C18" s="64" t="n">
        <v>54.4291247729243</v>
      </c>
      <c r="D18" s="63" t="n">
        <v>3.14159265358979</v>
      </c>
      <c r="E18" s="65" t="n">
        <v>51.4210630148469</v>
      </c>
      <c r="F18" s="66" t="n">
        <v>0.944734335328249</v>
      </c>
      <c r="G18" s="63" t="n">
        <v>5.36790628932407</v>
      </c>
      <c r="H18" s="65" t="n">
        <v>56.189607205249</v>
      </c>
      <c r="I18" s="66" t="n">
        <v>1.03234449276319</v>
      </c>
      <c r="J18" s="67" t="n">
        <f aca="false">ABS(I18-F18)</f>
        <v>0.0876101574349427</v>
      </c>
      <c r="K18" s="69"/>
      <c r="M18" s="42"/>
      <c r="N18" s="43"/>
    </row>
    <row r="19" customFormat="false" ht="14.5" hidden="false" customHeight="false" outlineLevel="0" collapsed="false">
      <c r="A19" s="70" t="s">
        <v>60</v>
      </c>
      <c r="B19" s="63" t="n">
        <v>8.50949894291386</v>
      </c>
      <c r="C19" s="64" t="n">
        <v>52.9545002065308</v>
      </c>
      <c r="D19" s="63" t="n">
        <v>3.14159265358979</v>
      </c>
      <c r="E19" s="65" t="n">
        <v>51.7284803358507</v>
      </c>
      <c r="F19" s="66" t="n">
        <v>0.976847673646275</v>
      </c>
      <c r="G19" s="63" t="n">
        <v>5.36790628932407</v>
      </c>
      <c r="H19" s="65" t="n">
        <v>53.6720341594881</v>
      </c>
      <c r="I19" s="66" t="n">
        <v>1.01355000897296</v>
      </c>
      <c r="J19" s="67" t="n">
        <f aca="false">ABS(I19-F19)</f>
        <v>0.0367023353266901</v>
      </c>
      <c r="K19" s="69" t="s">
        <v>47</v>
      </c>
      <c r="M19" s="42"/>
      <c r="N19" s="43"/>
    </row>
    <row r="20" customFormat="false" ht="14.5" hidden="false" customHeight="false" outlineLevel="0" collapsed="false">
      <c r="A20" s="71" t="s">
        <v>61</v>
      </c>
      <c r="B20" s="72" t="n">
        <v>8.50949894291386</v>
      </c>
      <c r="C20" s="73" t="n">
        <v>51.6363807580369</v>
      </c>
      <c r="D20" s="72" t="n">
        <v>3.14159265358979</v>
      </c>
      <c r="E20" s="74" t="n">
        <v>50.0134149940914</v>
      </c>
      <c r="F20" s="75" t="n">
        <v>0.968569335415845</v>
      </c>
      <c r="G20" s="72" t="n">
        <v>5.36790628932407</v>
      </c>
      <c r="H20" s="74" t="n">
        <v>52.5862291805363</v>
      </c>
      <c r="I20" s="75" t="n">
        <v>1.01839494574475</v>
      </c>
      <c r="J20" s="76" t="n">
        <f aca="false">ABS(I20-F20)</f>
        <v>0.0498256103289055</v>
      </c>
      <c r="K20" s="77" t="s">
        <v>53</v>
      </c>
      <c r="M20" s="42"/>
      <c r="N20" s="43"/>
    </row>
    <row r="24" customFormat="false" ht="13.8" hidden="false" customHeight="false" outlineLevel="0" collapsed="false">
      <c r="A24" s="0" t="s">
        <v>62</v>
      </c>
      <c r="B24" s="78" t="s">
        <v>51</v>
      </c>
      <c r="D24" s="0" t="n">
        <f aca="false">C11+C13</f>
        <v>99.2327738653917</v>
      </c>
    </row>
    <row r="25" customFormat="false" ht="13.8" hidden="false" customHeight="false" outlineLevel="0" collapsed="false">
      <c r="B25" s="78" t="s">
        <v>54</v>
      </c>
    </row>
    <row r="27" customFormat="false" ht="13.8" hidden="false" customHeight="false" outlineLevel="0" collapsed="false">
      <c r="A27" s="0" t="s">
        <v>63</v>
      </c>
      <c r="B27" s="79" t="s">
        <v>56</v>
      </c>
      <c r="D27" s="0" t="n">
        <f aca="false">C15+C14</f>
        <v>103.803812995751</v>
      </c>
    </row>
    <row r="28" customFormat="false" ht="13.8" hidden="false" customHeight="false" outlineLevel="0" collapsed="false">
      <c r="B28" s="78" t="s">
        <v>55</v>
      </c>
    </row>
    <row r="30" customFormat="false" ht="13.8" hidden="false" customHeight="false" outlineLevel="0" collapsed="false">
      <c r="A30" s="0" t="s">
        <v>64</v>
      </c>
      <c r="B30" s="78" t="s">
        <v>52</v>
      </c>
      <c r="D30" s="0" t="n">
        <f aca="false">C12+C20</f>
        <v>103.311280287877</v>
      </c>
    </row>
    <row r="31" customFormat="false" ht="13.8" hidden="false" customHeight="false" outlineLevel="0" collapsed="false">
      <c r="B31" s="80" t="s">
        <v>61</v>
      </c>
    </row>
    <row r="33" customFormat="false" ht="13.8" hidden="false" customHeight="false" outlineLevel="0" collapsed="false">
      <c r="A33" s="0" t="s">
        <v>65</v>
      </c>
      <c r="B33" s="78" t="s">
        <v>49</v>
      </c>
      <c r="D33" s="81" t="n">
        <f aca="false">C9+C10</f>
        <v>112.690426951672</v>
      </c>
    </row>
    <row r="34" customFormat="false" ht="13.8" hidden="false" customHeight="false" outlineLevel="0" collapsed="false">
      <c r="B34" s="79" t="s">
        <v>50</v>
      </c>
    </row>
    <row r="35" customFormat="false" ht="13.8" hidden="false" customHeight="false" outlineLevel="0" collapsed="false"/>
    <row r="36" customFormat="false" ht="13.8" hidden="false" customHeight="false" outlineLevel="0" collapsed="false">
      <c r="A36" s="0" t="s">
        <v>66</v>
      </c>
      <c r="B36" s="78" t="s">
        <v>46</v>
      </c>
      <c r="D36" s="0" t="n">
        <f aca="false">C7+C8</f>
        <v>107.545809287553</v>
      </c>
    </row>
    <row r="37" customFormat="false" ht="13.8" hidden="false" customHeight="false" outlineLevel="0" collapsed="false">
      <c r="B37" s="78" t="s">
        <v>48</v>
      </c>
    </row>
    <row r="39" customFormat="false" ht="13.8" hidden="false" customHeight="false" outlineLevel="0" collapsed="false">
      <c r="A39" s="0" t="s">
        <v>67</v>
      </c>
      <c r="B39" s="78" t="s">
        <v>60</v>
      </c>
      <c r="D39" s="0" t="n">
        <f aca="false">C19+C17</f>
        <v>105.04098408475</v>
      </c>
    </row>
    <row r="40" customFormat="false" ht="13.8" hidden="false" customHeight="false" outlineLevel="0" collapsed="false">
      <c r="B40" s="78" t="s">
        <v>58</v>
      </c>
    </row>
  </sheetData>
  <mergeCells count="4">
    <mergeCell ref="A1:K1"/>
    <mergeCell ref="B2:C2"/>
    <mergeCell ref="D2:F2"/>
    <mergeCell ref="G2:I2"/>
  </mergeCells>
  <conditionalFormatting sqref="J5:J20">
    <cfRule type="cellIs" priority="2" operator="greaterThanOrEqual" aboveAverage="0" equalAverage="0" bottom="0" percent="0" rank="0" text="" dxfId="2">
      <formula>0.1</formula>
    </cfRule>
    <cfRule type="cellIs" priority="3" operator="lessThan" aboveAverage="0" equalAverage="0" bottom="0" percent="0" rank="0" text="" dxfId="3">
      <formula>0.1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9.1796875" defaultRowHeight="14.5" zeroHeight="false" outlineLevelRow="0" outlineLevelCol="0"/>
  <cols>
    <col collapsed="false" customWidth="true" hidden="false" outlineLevel="0" max="1" min="1" style="0" width="16.17"/>
    <col collapsed="false" customWidth="true" hidden="false" outlineLevel="0" max="2" min="2" style="0" width="8.45"/>
    <col collapsed="false" customWidth="true" hidden="false" outlineLevel="0" max="3" min="3" style="0" width="11"/>
    <col collapsed="false" customWidth="true" hidden="false" outlineLevel="0" max="4" min="4" style="0" width="8.18"/>
    <col collapsed="false" customWidth="true" hidden="false" outlineLevel="0" max="5" min="5" style="0" width="11"/>
    <col collapsed="false" customWidth="true" hidden="false" outlineLevel="0" max="6" min="6" style="0" width="10.82"/>
    <col collapsed="false" customWidth="true" hidden="false" outlineLevel="0" max="7" min="7" style="0" width="9.45"/>
    <col collapsed="false" customWidth="true" hidden="false" outlineLevel="0" max="9" min="9" style="0" width="10.82"/>
    <col collapsed="false" customWidth="true" hidden="false" outlineLevel="0" max="10" min="10" style="0" width="10.45"/>
    <col collapsed="false" customWidth="false" hidden="false" outlineLevel="0" max="11" min="11" style="42" width="9.18"/>
  </cols>
  <sheetData>
    <row r="1" customFormat="false" ht="26.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5" hidden="false" customHeight="false" outlineLevel="0" collapsed="false">
      <c r="A2" s="45" t="s">
        <v>1</v>
      </c>
      <c r="B2" s="45" t="s">
        <v>2</v>
      </c>
      <c r="C2" s="45"/>
      <c r="D2" s="45" t="s">
        <v>35</v>
      </c>
      <c r="E2" s="45"/>
      <c r="F2" s="45"/>
      <c r="G2" s="45" t="s">
        <v>4</v>
      </c>
      <c r="H2" s="45"/>
      <c r="I2" s="45"/>
      <c r="J2" s="46" t="s">
        <v>5</v>
      </c>
      <c r="K2" s="47" t="s">
        <v>36</v>
      </c>
    </row>
    <row r="3" customFormat="false" ht="16.5" hidden="false" customHeight="false" outlineLevel="0" collapsed="false">
      <c r="A3" s="82" t="s">
        <v>37</v>
      </c>
      <c r="B3" s="51" t="s">
        <v>9</v>
      </c>
      <c r="C3" s="52" t="s">
        <v>38</v>
      </c>
      <c r="D3" s="51" t="s">
        <v>9</v>
      </c>
      <c r="E3" s="53" t="s">
        <v>38</v>
      </c>
      <c r="F3" s="54" t="s">
        <v>11</v>
      </c>
      <c r="G3" s="51" t="s">
        <v>9</v>
      </c>
      <c r="H3" s="53" t="s">
        <v>38</v>
      </c>
      <c r="I3" s="54" t="s">
        <v>11</v>
      </c>
      <c r="J3" s="53" t="s">
        <v>39</v>
      </c>
      <c r="K3" s="55" t="s">
        <v>40</v>
      </c>
    </row>
    <row r="4" customFormat="false" ht="14.5" hidden="false" customHeight="false" outlineLevel="0" collapsed="false">
      <c r="A4" s="83" t="s">
        <v>69</v>
      </c>
      <c r="B4" s="57" t="s">
        <v>14</v>
      </c>
      <c r="C4" s="58" t="s">
        <v>15</v>
      </c>
      <c r="D4" s="57" t="s">
        <v>14</v>
      </c>
      <c r="E4" s="59" t="s">
        <v>15</v>
      </c>
      <c r="F4" s="60" t="s">
        <v>16</v>
      </c>
      <c r="G4" s="57" t="s">
        <v>14</v>
      </c>
      <c r="H4" s="59" t="s">
        <v>15</v>
      </c>
      <c r="I4" s="60" t="s">
        <v>16</v>
      </c>
      <c r="J4" s="61" t="s">
        <v>16</v>
      </c>
      <c r="K4" s="55" t="s">
        <v>53</v>
      </c>
    </row>
    <row r="5" customFormat="false" ht="14.5" hidden="false" customHeight="false" outlineLevel="0" collapsed="false">
      <c r="A5" s="84" t="s">
        <v>70</v>
      </c>
      <c r="B5" s="63" t="n">
        <v>8.53648411186112</v>
      </c>
      <c r="C5" s="64" t="n">
        <v>45.3104606794124</v>
      </c>
      <c r="D5" s="63" t="n">
        <v>3.14159265358979</v>
      </c>
      <c r="E5" s="65" t="n">
        <v>48.2906375040992</v>
      </c>
      <c r="F5" s="66" t="n">
        <v>1.065772379711</v>
      </c>
      <c r="G5" s="63" t="n">
        <v>5.39489145827133</v>
      </c>
      <c r="H5" s="65" t="n">
        <v>43.575022313089</v>
      </c>
      <c r="I5" s="66" t="n">
        <v>0.961698946770763</v>
      </c>
      <c r="J5" s="85" t="n">
        <f aca="false">ABS(I5-F5)</f>
        <v>0.10407343294024</v>
      </c>
      <c r="K5" s="69" t="s">
        <v>71</v>
      </c>
    </row>
    <row r="6" customFormat="false" ht="14.5" hidden="false" customHeight="false" outlineLevel="0" collapsed="false">
      <c r="A6" s="84" t="s">
        <v>72</v>
      </c>
      <c r="B6" s="63" t="n">
        <v>8.53648411186112</v>
      </c>
      <c r="C6" s="64" t="n">
        <v>50.5614546949086</v>
      </c>
      <c r="D6" s="63" t="n">
        <v>3.14159265358979</v>
      </c>
      <c r="E6" s="65" t="n">
        <v>57.2834998701419</v>
      </c>
      <c r="F6" s="66" t="n">
        <v>1.13294801773</v>
      </c>
      <c r="G6" s="63" t="n">
        <v>5.39489145827133</v>
      </c>
      <c r="H6" s="65" t="n">
        <v>46.6470241817174</v>
      </c>
      <c r="I6" s="66" t="n">
        <v>0.922580737899827</v>
      </c>
      <c r="J6" s="85" t="n">
        <f aca="false">ABS(I6-F6)</f>
        <v>0.210367279830174</v>
      </c>
      <c r="K6" s="69" t="s">
        <v>73</v>
      </c>
    </row>
    <row r="7" customFormat="false" ht="14.5" hidden="false" customHeight="false" outlineLevel="0" collapsed="false">
      <c r="A7" s="84" t="s">
        <v>74</v>
      </c>
      <c r="B7" s="63" t="n">
        <v>8.53648411186112</v>
      </c>
      <c r="C7" s="64" t="n">
        <v>53.9484384430068</v>
      </c>
      <c r="D7" s="63" t="n">
        <v>3.14159265358979</v>
      </c>
      <c r="E7" s="65" t="n">
        <v>52.3686166832959</v>
      </c>
      <c r="F7" s="66" t="n">
        <v>0.970716079921759</v>
      </c>
      <c r="G7" s="63" t="n">
        <v>5.39489145827133</v>
      </c>
      <c r="H7" s="65" t="n">
        <v>54.8684118053401</v>
      </c>
      <c r="I7" s="66" t="n">
        <v>1.01705282653001</v>
      </c>
      <c r="J7" s="85" t="n">
        <f aca="false">ABS(I7-F7)</f>
        <v>0.046336746608247</v>
      </c>
      <c r="K7" s="69" t="s">
        <v>73</v>
      </c>
    </row>
    <row r="8" customFormat="false" ht="14.5" hidden="false" customHeight="false" outlineLevel="0" collapsed="false">
      <c r="A8" s="86" t="s">
        <v>75</v>
      </c>
      <c r="B8" s="72" t="n">
        <v>8.53648411186112</v>
      </c>
      <c r="C8" s="73" t="n">
        <v>38.1984935951767</v>
      </c>
      <c r="D8" s="72" t="n">
        <v>3.14159265358979</v>
      </c>
      <c r="E8" s="74" t="n">
        <v>36.6358032852089</v>
      </c>
      <c r="F8" s="75" t="n">
        <v>0.959090263439992</v>
      </c>
      <c r="G8" s="72" t="n">
        <v>5.39489145827133</v>
      </c>
      <c r="H8" s="74" t="n">
        <v>39.1084908463919</v>
      </c>
      <c r="I8" s="75" t="n">
        <v>1.02382285701785</v>
      </c>
      <c r="J8" s="87" t="n">
        <f aca="false">ABS(I8-F8)</f>
        <v>0.064732593577858</v>
      </c>
      <c r="K8" s="69" t="s">
        <v>76</v>
      </c>
    </row>
    <row r="9" customFormat="false" ht="14.5" hidden="false" customHeight="false" outlineLevel="0" collapsed="false">
      <c r="A9" s="84" t="s">
        <v>77</v>
      </c>
      <c r="B9" s="63" t="n">
        <v>8.59092028780429</v>
      </c>
      <c r="C9" s="64" t="n">
        <v>49.5308868368296</v>
      </c>
      <c r="D9" s="63" t="s">
        <v>16</v>
      </c>
      <c r="E9" s="42" t="s">
        <v>16</v>
      </c>
      <c r="F9" s="69" t="s">
        <v>16</v>
      </c>
      <c r="G9" s="63" t="s">
        <v>16</v>
      </c>
      <c r="H9" s="42" t="s">
        <v>16</v>
      </c>
      <c r="I9" s="69" t="s">
        <v>16</v>
      </c>
      <c r="J9" s="85"/>
      <c r="K9" s="68" t="s">
        <v>71</v>
      </c>
    </row>
    <row r="10" customFormat="false" ht="14.5" hidden="false" customHeight="false" outlineLevel="0" collapsed="false">
      <c r="A10" s="84" t="s">
        <v>78</v>
      </c>
      <c r="B10" s="63" t="n">
        <v>8.60394763282591</v>
      </c>
      <c r="C10" s="64" t="n">
        <v>49.2580636849956</v>
      </c>
      <c r="D10" s="63" t="s">
        <v>16</v>
      </c>
      <c r="E10" s="42" t="s">
        <v>16</v>
      </c>
      <c r="F10" s="69" t="s">
        <v>16</v>
      </c>
      <c r="G10" s="63" t="s">
        <v>16</v>
      </c>
      <c r="H10" s="42" t="s">
        <v>16</v>
      </c>
      <c r="I10" s="69" t="s">
        <v>16</v>
      </c>
      <c r="J10" s="85"/>
      <c r="K10" s="69" t="s">
        <v>71</v>
      </c>
    </row>
    <row r="11" customFormat="false" ht="14.5" hidden="false" customHeight="false" outlineLevel="0" collapsed="false">
      <c r="A11" s="86" t="s">
        <v>79</v>
      </c>
      <c r="B11" s="72" t="n">
        <v>8.62871289588819</v>
      </c>
      <c r="C11" s="73" t="n">
        <v>48.4348718312028</v>
      </c>
      <c r="D11" s="72" t="s">
        <v>16</v>
      </c>
      <c r="E11" s="88" t="s">
        <v>16</v>
      </c>
      <c r="F11" s="77" t="s">
        <v>16</v>
      </c>
      <c r="G11" s="72" t="s">
        <v>16</v>
      </c>
      <c r="H11" s="88" t="s">
        <v>16</v>
      </c>
      <c r="I11" s="77" t="s">
        <v>16</v>
      </c>
      <c r="J11" s="87"/>
      <c r="K11" s="77" t="s">
        <v>71</v>
      </c>
    </row>
    <row r="15" customFormat="false" ht="13.8" hidden="false" customHeight="false" outlineLevel="0" collapsed="false">
      <c r="A15" s="0" t="s">
        <v>80</v>
      </c>
      <c r="B15" s="89" t="s">
        <v>77</v>
      </c>
      <c r="C15" s="81"/>
    </row>
    <row r="16" customFormat="false" ht="13.8" hidden="false" customHeight="false" outlineLevel="0" collapsed="false">
      <c r="A16" s="0" t="n">
        <f aca="false">C9+C11</f>
        <v>97.9657586680324</v>
      </c>
      <c r="B16" s="90" t="s">
        <v>79</v>
      </c>
      <c r="C16" s="81"/>
    </row>
    <row r="19" customFormat="false" ht="13.8" hidden="false" customHeight="false" outlineLevel="0" collapsed="false">
      <c r="A19" s="0" t="s">
        <v>81</v>
      </c>
      <c r="B19" s="89" t="s">
        <v>74</v>
      </c>
    </row>
    <row r="20" customFormat="false" ht="13.8" hidden="false" customHeight="false" outlineLevel="0" collapsed="false">
      <c r="A20" s="0" t="n">
        <f aca="false">C7+C8</f>
        <v>92.1469320381835</v>
      </c>
      <c r="B20" s="90" t="s">
        <v>75</v>
      </c>
      <c r="D20" s="0" t="s">
        <v>82</v>
      </c>
      <c r="E20" s="89" t="s">
        <v>70</v>
      </c>
    </row>
    <row r="21" customFormat="false" ht="13.8" hidden="false" customHeight="false" outlineLevel="0" collapsed="false">
      <c r="D21" s="0" t="n">
        <f aca="false">C7+C5</f>
        <v>99.2588991224192</v>
      </c>
    </row>
  </sheetData>
  <mergeCells count="4">
    <mergeCell ref="A1:K1"/>
    <mergeCell ref="B2:C2"/>
    <mergeCell ref="D2:F2"/>
    <mergeCell ref="G2:I2"/>
  </mergeCells>
  <conditionalFormatting sqref="J5:J11">
    <cfRule type="cellIs" priority="2" operator="greaterThanOrEqual" aboveAverage="0" equalAverage="0" bottom="0" percent="0" rank="0" text="" dxfId="4">
      <formula>0.1</formula>
    </cfRule>
    <cfRule type="cellIs" priority="3" operator="lessThan" aboveAverage="0" equalAverage="0" bottom="0" percent="0" rank="0" text="" dxfId="5">
      <formula>0.1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LibreOffice/7.1.8.1$Linux_X86_64 LibreOffice_project/10$Build-1</Application>
  <AppVersion>15.0000</AppVersion>
  <Company>European Commission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2025-10-16T12:56:57Z</dcterms:created>
  <dc:creator>VANLEEUW David (JRC-GEEL)</dc:creator>
  <dc:description/>
  <dc:language>en-US</dc:language>
  <cp:lastModifiedBy/>
  <cp:lastPrinted>2026-08-25T08:53:35Z</cp:lastPrinted>
  <dcterms:modified xsi:type="dcterms:W3CDTF">2026-09-29T14:52:10Z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ActionId">
    <vt:lpwstr>d3024f0d-ebd1-45c2-9bd2-50131cab6500</vt:lpwstr>
  </property>
  <property fmtid="{D5CDD505-2E9C-101B-9397-08002B2CF9AE}" pid="3" name="MSIP_Label_6bd9ddd1-4d20-43f6-abfa-fc3c07406f94_ContentBits">
    <vt:lpwstr>0</vt:lpwstr>
  </property>
  <property fmtid="{D5CDD505-2E9C-101B-9397-08002B2CF9AE}" pid="4" name="MSIP_Label_6bd9ddd1-4d20-43f6-abfa-fc3c07406f94_Enabled">
    <vt:lpwstr>true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etDate">
    <vt:lpwstr>2025-10-16T14:02:52Z</vt:lpwstr>
  </property>
  <property fmtid="{D5CDD505-2E9C-101B-9397-08002B2CF9AE}" pid="8" name="MSIP_Label_6bd9ddd1-4d20-43f6-abfa-fc3c07406f94_SiteId">
    <vt:lpwstr>b24c8b06-522c-46fe-9080-70926f8dddb1</vt:lpwstr>
  </property>
  <property fmtid="{D5CDD505-2E9C-101B-9397-08002B2CF9AE}" pid="9" name="MSIP_Label_6bd9ddd1-4d20-43f6-abfa-fc3c07406f94_Tag">
    <vt:lpwstr>10, 3, 0, 1</vt:lpwstr>
  </property>
</Properties>
</file>